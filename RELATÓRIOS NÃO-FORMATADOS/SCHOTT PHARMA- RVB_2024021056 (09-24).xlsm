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liente\Desktop\Projetos\predimecPy\"/>
    </mc:Choice>
  </mc:AlternateContent>
  <xr:revisionPtr revIDLastSave="0" documentId="13_ncr:1_{2F6FDB94-091A-4BD6-AC2E-F25B3FE007F3}" xr6:coauthVersionLast="47" xr6:coauthVersionMax="47" xr10:uidLastSave="{00000000-0000-0000-0000-000000000000}"/>
  <bookViews>
    <workbookView xWindow="-108" yWindow="-108" windowWidth="23256" windowHeight="12576" tabRatio="864" xr2:uid="{00000000-000D-0000-FFFF-FFFF00000000}"/>
  </bookViews>
  <sheets>
    <sheet name="Gráficos" sheetId="6" r:id="rId1"/>
    <sheet name="Listagem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2" i="6" l="1"/>
  <c r="N11" i="6"/>
  <c r="N10" i="6"/>
  <c r="N9" i="6"/>
  <c r="N8" i="6"/>
  <c r="N52" i="6"/>
  <c r="N51" i="6"/>
  <c r="N50" i="6"/>
  <c r="N49" i="6"/>
  <c r="N48" i="6"/>
  <c r="N7" i="6"/>
</calcChain>
</file>

<file path=xl/sharedStrings.xml><?xml version="1.0" encoding="utf-8"?>
<sst xmlns="http://schemas.openxmlformats.org/spreadsheetml/2006/main" count="103" uniqueCount="15">
  <si>
    <t>Status</t>
  </si>
  <si>
    <t>Normal</t>
  </si>
  <si>
    <t>Alerta</t>
  </si>
  <si>
    <t>Crítico</t>
  </si>
  <si>
    <t>Desbalanceamento</t>
  </si>
  <si>
    <t>Desalinhamento</t>
  </si>
  <si>
    <t>Folgas</t>
  </si>
  <si>
    <t>Base danificada</t>
  </si>
  <si>
    <t>Aceitável</t>
  </si>
  <si>
    <t>Não Medidos</t>
  </si>
  <si>
    <t>Lubrificação</t>
  </si>
  <si>
    <t>Rolamento</t>
  </si>
  <si>
    <t>Outros</t>
  </si>
  <si>
    <t>Falhas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</si>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</sst>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08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6A6A6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9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17" fontId="1" fillId="0" borderId="9" xfId="0" applyNumberFormat="1" applyFont="1" applyBorder="1" applyAlignment="1">
      <alignment horizontal="center"/>
    </xf>
    <xf numFmtId="164" fontId="1" fillId="0" borderId="9" xfId="0" applyNumberFormat="1" applyFont="1" applyBorder="1"/>
    <xf numFmtId="0" fontId="3" fillId="3" borderId="11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17" fontId="3" fillId="6" borderId="1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/>
              <a:t>Situação Geral da Planta</a:t>
            </a:r>
          </a:p>
        </c:rich>
      </c:tx>
      <c:layout>
        <c:manualLayout>
          <c:xMode val="edge"/>
          <c:yMode val="edge"/>
          <c:x val="0.23062324863999159"/>
          <c:y val="7.1692984672096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0415179352580928"/>
          <c:y val="0.26443435099160262"/>
          <c:w val="0.83890640501351288"/>
          <c:h val="0.5834284776902887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C74-4344-8E27-220675848219}"/>
              </c:ext>
            </c:extLst>
          </c:dPt>
          <c:dPt>
            <c:idx val="1"/>
            <c:bubble3D val="0"/>
            <c:spPr>
              <a:solidFill>
                <a:srgbClr val="00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C74-4344-8E27-22067584821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C74-4344-8E27-22067584821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C74-4344-8E27-220675848219}"/>
              </c:ext>
            </c:extLst>
          </c:dPt>
          <c:dPt>
            <c:idx val="4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C74-4344-8E27-220675848219}"/>
              </c:ext>
            </c:extLst>
          </c:dPt>
          <c:dLbls>
            <c:dLbl>
              <c:idx val="0"/>
              <c:layout>
                <c:manualLayout>
                  <c:x val="-0.16290874195661567"/>
                  <c:y val="-0.1714040958145692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74-4344-8E27-220675848219}"/>
                </c:ext>
              </c:extLst>
            </c:dLbl>
            <c:dLbl>
              <c:idx val="1"/>
              <c:layout>
                <c:manualLayout>
                  <c:x val="4.2028915652091943E-2"/>
                  <c:y val="-0.2078941314775952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74-4344-8E27-220675848219}"/>
                </c:ext>
              </c:extLst>
            </c:dLbl>
            <c:dLbl>
              <c:idx val="2"/>
              <c:layout>
                <c:manualLayout>
                  <c:x val="0.10903707241620306"/>
                  <c:y val="-0.118059505177277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C74-4344-8E27-220675848219}"/>
                </c:ext>
              </c:extLst>
            </c:dLbl>
            <c:dLbl>
              <c:idx val="3"/>
              <c:layout>
                <c:manualLayout>
                  <c:x val="3.4118848193921872E-2"/>
                  <c:y val="6.90274310343124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74-4344-8E27-2206758482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Gráficos!$M$8:$M$12</c:f>
              <c:strCache>
                <c:ptCount val="5"/>
                <c:pt idx="0">
                  <c:v>Normal</c:v>
                </c:pt>
                <c:pt idx="1">
                  <c:v>Aceitável</c:v>
                </c:pt>
                <c:pt idx="2">
                  <c:v>Alerta</c:v>
                </c:pt>
                <c:pt idx="3">
                  <c:v>Crítico</c:v>
                </c:pt>
                <c:pt idx="4">
                  <c:v>Não Medidos</c:v>
                </c:pt>
              </c:strCache>
            </c:strRef>
          </c:cat>
          <c:val>
            <c:numRef>
              <c:f>Gráficos!$N$8:$N$12</c:f>
              <c:numCache>
                <c:formatCode>General</c:formatCode>
                <c:ptCount val="5"/>
                <c:pt idx="0">
                  <c:v>42</c:v>
                </c:pt>
                <c:pt idx="1">
                  <c:v>4</c:v>
                </c:pt>
                <c:pt idx="2">
                  <c:v>15</c:v>
                </c:pt>
                <c:pt idx="3">
                  <c:v>18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C74-4344-8E27-22067584821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8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pt-BR" sz="1800" b="1" i="0" u="none" strike="noStrike" kern="120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rPr>
              <a:t>Falhas Encontradas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1800" b="1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456092149380145E-2"/>
          <c:y val="0.18715233959883104"/>
          <c:w val="0.92883867982726709"/>
          <c:h val="0.530713521197189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Gráficos!$N$27</c:f>
              <c:strCache>
                <c:ptCount val="1"/>
                <c:pt idx="0">
                  <c:v>Aceitável</c:v>
                </c:pt>
              </c:strCache>
            </c:strRef>
          </c:tx>
          <c:spPr>
            <a:solidFill>
              <a:srgbClr val="00FF00"/>
            </a:solidFill>
            <a:ln>
              <a:noFill/>
            </a:ln>
            <a:effectLst/>
          </c:spPr>
          <c:invertIfNegative val="0"/>
          <c:cat>
            <c:strRef>
              <c:f>Gráficos!$M$28:$M$34</c:f>
              <c:strCache>
                <c:ptCount val="7"/>
                <c:pt idx="0">
                  <c:v>Desbalanceamento</c:v>
                </c:pt>
                <c:pt idx="1">
                  <c:v>Desalinhamento</c:v>
                </c:pt>
                <c:pt idx="2">
                  <c:v>Folgas</c:v>
                </c:pt>
                <c:pt idx="3">
                  <c:v>Base danificada</c:v>
                </c:pt>
                <c:pt idx="4">
                  <c:v>Lubrificação</c:v>
                </c:pt>
                <c:pt idx="5">
                  <c:v>Rolamento</c:v>
                </c:pt>
                <c:pt idx="6">
                  <c:v>Outros</c:v>
                </c:pt>
              </c:strCache>
            </c:strRef>
          </c:cat>
          <c:val>
            <c:numRef>
              <c:f>Gráficos!$N$28:$N$34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1A-4987-B4AA-C1DC0FD93262}"/>
            </c:ext>
          </c:extLst>
        </c:ser>
        <c:ser>
          <c:idx val="1"/>
          <c:order val="1"/>
          <c:tx>
            <c:strRef>
              <c:f>Gráficos!$O$27</c:f>
              <c:strCache>
                <c:ptCount val="1"/>
                <c:pt idx="0">
                  <c:v>Alerta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Gráficos!$M$28:$M$34</c:f>
              <c:strCache>
                <c:ptCount val="7"/>
                <c:pt idx="0">
                  <c:v>Desbalanceamento</c:v>
                </c:pt>
                <c:pt idx="1">
                  <c:v>Desalinhamento</c:v>
                </c:pt>
                <c:pt idx="2">
                  <c:v>Folgas</c:v>
                </c:pt>
                <c:pt idx="3">
                  <c:v>Base danificada</c:v>
                </c:pt>
                <c:pt idx="4">
                  <c:v>Lubrificação</c:v>
                </c:pt>
                <c:pt idx="5">
                  <c:v>Rolamento</c:v>
                </c:pt>
                <c:pt idx="6">
                  <c:v>Outros</c:v>
                </c:pt>
              </c:strCache>
            </c:strRef>
          </c:cat>
          <c:val>
            <c:numRef>
              <c:f>Gráficos!$O$28:$O$34</c:f>
              <c:numCache>
                <c:formatCode>General</c:formatCode>
                <c:ptCount val="7"/>
                <c:pt idx="0">
                  <c:v>4</c:v>
                </c:pt>
                <c:pt idx="1">
                  <c:v>7</c:v>
                </c:pt>
                <c:pt idx="2">
                  <c:v>1</c:v>
                </c:pt>
                <c:pt idx="3">
                  <c:v>0</c:v>
                </c:pt>
                <c:pt idx="4">
                  <c:v>7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1A-4987-B4AA-C1DC0FD93262}"/>
            </c:ext>
          </c:extLst>
        </c:ser>
        <c:ser>
          <c:idx val="2"/>
          <c:order val="2"/>
          <c:tx>
            <c:strRef>
              <c:f>Gráficos!$P$27</c:f>
              <c:strCache>
                <c:ptCount val="1"/>
                <c:pt idx="0">
                  <c:v>Crítico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Gráficos!$M$28:$M$34</c:f>
              <c:strCache>
                <c:ptCount val="7"/>
                <c:pt idx="0">
                  <c:v>Desbalanceamento</c:v>
                </c:pt>
                <c:pt idx="1">
                  <c:v>Desalinhamento</c:v>
                </c:pt>
                <c:pt idx="2">
                  <c:v>Folgas</c:v>
                </c:pt>
                <c:pt idx="3">
                  <c:v>Base danificada</c:v>
                </c:pt>
                <c:pt idx="4">
                  <c:v>Lubrificação</c:v>
                </c:pt>
                <c:pt idx="5">
                  <c:v>Rolamento</c:v>
                </c:pt>
                <c:pt idx="6">
                  <c:v>Outros</c:v>
                </c:pt>
              </c:strCache>
            </c:strRef>
          </c:cat>
          <c:val>
            <c:numRef>
              <c:f>Gráficos!$P$28:$P$34</c:f>
              <c:numCache>
                <c:formatCode>General</c:formatCode>
                <c:ptCount val="7"/>
                <c:pt idx="0">
                  <c:v>11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9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1A-4987-B4AA-C1DC0FD93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0302015"/>
        <c:axId val="815514367"/>
      </c:barChart>
      <c:catAx>
        <c:axId val="990302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5514367"/>
        <c:crosses val="autoZero"/>
        <c:auto val="1"/>
        <c:lblAlgn val="ctr"/>
        <c:lblOffset val="1"/>
        <c:noMultiLvlLbl val="0"/>
      </c:catAx>
      <c:valAx>
        <c:axId val="81551436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030201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302427821522309"/>
          <c:y val="0.9157063716580468"/>
          <c:w val="0.41023378280815964"/>
          <c:h val="8.00069258302112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Acompanhamento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Gráficos!$M$48</c:f>
              <c:strCache>
                <c:ptCount val="1"/>
                <c:pt idx="0">
                  <c:v>Normal</c:v>
                </c:pt>
              </c:strCache>
            </c:strRef>
          </c:tx>
          <c:spPr>
            <a:ln w="34925" cap="rnd">
              <a:solidFill>
                <a:srgbClr val="0000CC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00CC"/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Gráficos!$N$47:$R$47</c:f>
              <c:numCache>
                <c:formatCode>mmm\-yy</c:formatCode>
                <c:ptCount val="5"/>
                <c:pt idx="0">
                  <c:v>45444</c:v>
                </c:pt>
                <c:pt idx="1">
                  <c:v>45566</c:v>
                </c:pt>
                <c:pt idx="2">
                  <c:v>45566</c:v>
                </c:pt>
                <c:pt idx="3">
                  <c:v>45566</c:v>
                </c:pt>
                <c:pt idx="4">
                  <c:v>45597</c:v>
                </c:pt>
              </c:numCache>
            </c:numRef>
          </c:cat>
          <c:val>
            <c:numRef>
              <c:f>Gráficos!$N$48:$R$48</c:f>
              <c:numCache>
                <c:formatCode>General</c:formatCode>
                <c:ptCount val="5"/>
                <c:pt idx="0">
                  <c:v>35</c:v>
                </c:pt>
                <c:pt idx="1">
                  <c:v>53</c:v>
                </c:pt>
                <c:pt idx="2">
                  <c:v>53</c:v>
                </c:pt>
                <c:pt idx="3">
                  <c:v>53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4-48E6-80DB-4068D9BFFD33}"/>
            </c:ext>
          </c:extLst>
        </c:ser>
        <c:ser>
          <c:idx val="1"/>
          <c:order val="1"/>
          <c:tx>
            <c:strRef>
              <c:f>Gráficos!$M$49</c:f>
              <c:strCache>
                <c:ptCount val="1"/>
                <c:pt idx="0">
                  <c:v>Aceitável</c:v>
                </c:pt>
              </c:strCache>
            </c:strRef>
          </c:tx>
          <c:spPr>
            <a:ln w="34925" cap="rnd">
              <a:solidFill>
                <a:srgbClr val="00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Gráficos!$N$47:$R$47</c:f>
              <c:numCache>
                <c:formatCode>mmm\-yy</c:formatCode>
                <c:ptCount val="5"/>
                <c:pt idx="0">
                  <c:v>45444</c:v>
                </c:pt>
                <c:pt idx="1">
                  <c:v>45566</c:v>
                </c:pt>
                <c:pt idx="2">
                  <c:v>45566</c:v>
                </c:pt>
                <c:pt idx="3">
                  <c:v>45566</c:v>
                </c:pt>
                <c:pt idx="4">
                  <c:v>45597</c:v>
                </c:pt>
              </c:numCache>
            </c:numRef>
          </c:cat>
          <c:val>
            <c:numRef>
              <c:f>Gráficos!$N$49:$R$49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A4-48E6-80DB-4068D9BFFD33}"/>
            </c:ext>
          </c:extLst>
        </c:ser>
        <c:ser>
          <c:idx val="2"/>
          <c:order val="2"/>
          <c:tx>
            <c:strRef>
              <c:f>Gráficos!$M$50</c:f>
              <c:strCache>
                <c:ptCount val="1"/>
                <c:pt idx="0">
                  <c:v>Alerta</c:v>
                </c:pt>
              </c:strCache>
            </c:strRef>
          </c:tx>
          <c:spPr>
            <a:ln w="34925" cap="rnd">
              <a:solidFill>
                <a:srgbClr val="FFFF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FF00"/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Gráficos!$N$47:$R$47</c:f>
              <c:numCache>
                <c:formatCode>mmm\-yy</c:formatCode>
                <c:ptCount val="5"/>
                <c:pt idx="0">
                  <c:v>45444</c:v>
                </c:pt>
                <c:pt idx="1">
                  <c:v>45566</c:v>
                </c:pt>
                <c:pt idx="2">
                  <c:v>45566</c:v>
                </c:pt>
                <c:pt idx="3">
                  <c:v>45566</c:v>
                </c:pt>
                <c:pt idx="4">
                  <c:v>45597</c:v>
                </c:pt>
              </c:numCache>
            </c:numRef>
          </c:cat>
          <c:val>
            <c:numRef>
              <c:f>Gráficos!$N$50:$R$50</c:f>
              <c:numCache>
                <c:formatCode>General</c:formatCode>
                <c:ptCount val="5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A4-48E6-80DB-4068D9BFFD33}"/>
            </c:ext>
          </c:extLst>
        </c:ser>
        <c:ser>
          <c:idx val="3"/>
          <c:order val="3"/>
          <c:tx>
            <c:strRef>
              <c:f>Gráficos!$M$51</c:f>
              <c:strCache>
                <c:ptCount val="1"/>
                <c:pt idx="0">
                  <c:v>Crítico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Gráficos!$N$47:$R$47</c:f>
              <c:numCache>
                <c:formatCode>mmm\-yy</c:formatCode>
                <c:ptCount val="5"/>
                <c:pt idx="0">
                  <c:v>45444</c:v>
                </c:pt>
                <c:pt idx="1">
                  <c:v>45566</c:v>
                </c:pt>
                <c:pt idx="2">
                  <c:v>45566</c:v>
                </c:pt>
                <c:pt idx="3">
                  <c:v>45566</c:v>
                </c:pt>
                <c:pt idx="4">
                  <c:v>45597</c:v>
                </c:pt>
              </c:numCache>
            </c:numRef>
          </c:cat>
          <c:val>
            <c:numRef>
              <c:f>Gráficos!$N$51:$R$51</c:f>
              <c:numCache>
                <c:formatCode>General</c:formatCode>
                <c:ptCount val="5"/>
                <c:pt idx="0">
                  <c:v>17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A4-48E6-80DB-4068D9BFFD33}"/>
            </c:ext>
          </c:extLst>
        </c:ser>
        <c:ser>
          <c:idx val="4"/>
          <c:order val="4"/>
          <c:tx>
            <c:strRef>
              <c:f>Gráficos!$M$52</c:f>
              <c:strCache>
                <c:ptCount val="1"/>
                <c:pt idx="0">
                  <c:v>Não Medidos</c:v>
                </c:pt>
              </c:strCache>
            </c:strRef>
          </c:tx>
          <c:spPr>
            <a:ln w="34925" cap="rnd">
              <a:solidFill>
                <a:schemeClr val="bg1">
                  <a:lumMod val="7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tx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Gráficos!$N$47:$R$47</c:f>
              <c:numCache>
                <c:formatCode>mmm\-yy</c:formatCode>
                <c:ptCount val="5"/>
                <c:pt idx="0">
                  <c:v>45444</c:v>
                </c:pt>
                <c:pt idx="1">
                  <c:v>45566</c:v>
                </c:pt>
                <c:pt idx="2">
                  <c:v>45566</c:v>
                </c:pt>
                <c:pt idx="3">
                  <c:v>45566</c:v>
                </c:pt>
                <c:pt idx="4">
                  <c:v>45597</c:v>
                </c:pt>
              </c:numCache>
            </c:numRef>
          </c:cat>
          <c:val>
            <c:numRef>
              <c:f>Gráficos!$N$52:$R$52</c:f>
              <c:numCache>
                <c:formatCode>General</c:formatCode>
                <c:ptCount val="5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A4-48E6-80DB-4068D9BFF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537440"/>
        <c:axId val="826540768"/>
      </c:lineChart>
      <c:dateAx>
        <c:axId val="826537440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540768"/>
        <c:crosses val="autoZero"/>
        <c:auto val="1"/>
        <c:lblOffset val="100"/>
        <c:baseTimeUnit val="days"/>
      </c:dateAx>
      <c:valAx>
        <c:axId val="82654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53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658362</xdr:colOff>
      <xdr:row>2</xdr:row>
      <xdr:rowOff>176717</xdr:rowOff>
    </xdr:from>
    <xdr:to>
      <xdr:col>9</xdr:col>
      <xdr:colOff>236541</xdr:colOff>
      <xdr:row>17</xdr:row>
      <xdr:rowOff>62417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485230</xdr:colOff>
      <xdr:row>23</xdr:row>
      <xdr:rowOff>46431</xdr:rowOff>
    </xdr:from>
    <xdr:to>
      <xdr:col>9</xdr:col>
      <xdr:colOff>83064</xdr:colOff>
      <xdr:row>37</xdr:row>
      <xdr:rowOff>100167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B7ADC6E-1DF8-4867-8B3F-4AA4B128A8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476251</xdr:colOff>
      <xdr:row>43</xdr:row>
      <xdr:rowOff>137583</xdr:rowOff>
    </xdr:from>
    <xdr:to>
      <xdr:col>9</xdr:col>
      <xdr:colOff>72404</xdr:colOff>
      <xdr:row>57</xdr:row>
      <xdr:rowOff>86783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9C6C11D-12D9-4840-B880-D0D2EB7FB4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S59"/>
  <sheetViews>
    <sheetView showGridLines="0" tabSelected="1" zoomScale="43" zoomScaleNormal="43" workbookViewId="0">
      <selection activeCell="R25" sqref="R25"/>
    </sheetView>
  </sheetViews>
  <sheetFormatPr defaultRowHeight="14.4" x14ac:dyDescent="0.3"/>
  <cols>
    <col min="3" max="3" width="17.6640625" customWidth="1"/>
    <col min="4" max="4" width="13.6640625" bestFit="1" customWidth="1"/>
    <col min="5" max="5" width="16.5546875" bestFit="1" customWidth="1"/>
    <col min="6" max="7" width="6.6640625" bestFit="1" customWidth="1"/>
    <col min="8" max="9" width="6.6640625" customWidth="1"/>
    <col min="13" max="13" width="19.44140625" bestFit="1" customWidth="1"/>
    <col min="14" max="16" width="12" style="12" customWidth="1"/>
    <col min="17" max="17" width="10" bestFit="1" customWidth="1"/>
  </cols>
  <sheetData>
    <row r="2" spans="3:19" ht="15" thickBot="1" x14ac:dyDescent="0.35"/>
    <row r="3" spans="3:19" x14ac:dyDescent="0.3"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13"/>
      <c r="O3" s="13"/>
      <c r="P3" s="13"/>
      <c r="Q3" s="3"/>
      <c r="R3" s="3"/>
      <c r="S3" s="4"/>
    </row>
    <row r="4" spans="3:19" x14ac:dyDescent="0.3">
      <c r="C4" s="5"/>
      <c r="S4" s="6"/>
    </row>
    <row r="5" spans="3:19" x14ac:dyDescent="0.3">
      <c r="C5" s="5"/>
      <c r="S5" s="6"/>
    </row>
    <row r="6" spans="3:19" x14ac:dyDescent="0.3">
      <c r="C6" s="5"/>
      <c r="S6" s="6"/>
    </row>
    <row r="7" spans="3:19" ht="18" x14ac:dyDescent="0.35">
      <c r="C7" s="5"/>
      <c r="M7" s="1" t="s">
        <v>0</v>
      </c>
      <c r="N7" s="17">
        <f ca="1">TODAY()</f>
        <v>45567</v>
      </c>
      <c r="S7" s="6"/>
    </row>
    <row r="8" spans="3:19" ht="15.6" x14ac:dyDescent="0.3">
      <c r="C8" s="5"/>
      <c r="M8" s="7" t="s">
        <v>1</v>
      </c>
      <c r="N8" s="8">
        <f>COUNTIF(Listagem!$E$1:$E$80,Gráficos!M8)</f>
        <v>42</v>
      </c>
      <c r="S8" s="6"/>
    </row>
    <row r="9" spans="3:19" ht="15.6" x14ac:dyDescent="0.3">
      <c r="C9" s="5"/>
      <c r="M9" s="7" t="s">
        <v>8</v>
      </c>
      <c r="N9" s="8">
        <f>COUNTIF(Listagem!$E$1:$E$80,Gráficos!M9)</f>
        <v>4</v>
      </c>
      <c r="S9" s="6"/>
    </row>
    <row r="10" spans="3:19" ht="15.6" x14ac:dyDescent="0.3">
      <c r="C10" s="5"/>
      <c r="M10" s="7" t="s">
        <v>2</v>
      </c>
      <c r="N10" s="8">
        <f>COUNTIF(Listagem!$E$1:$E$80,Gráficos!M10)</f>
        <v>15</v>
      </c>
      <c r="S10" s="6"/>
    </row>
    <row r="11" spans="3:19" ht="15.6" x14ac:dyDescent="0.3">
      <c r="C11" s="5"/>
      <c r="M11" s="7" t="s">
        <v>3</v>
      </c>
      <c r="N11" s="8">
        <f>COUNTIF(Listagem!$E$1:$E$80,Gráficos!M11)</f>
        <v>18</v>
      </c>
      <c r="S11" s="6"/>
    </row>
    <row r="12" spans="3:19" ht="15.6" x14ac:dyDescent="0.3">
      <c r="C12" s="5"/>
      <c r="M12" s="7" t="s">
        <v>9</v>
      </c>
      <c r="N12" s="8">
        <f>COUNTIF(Listagem!$E$1:$E$80,Gráficos!M12)</f>
        <v>0</v>
      </c>
      <c r="S12" s="6"/>
    </row>
    <row r="13" spans="3:19" x14ac:dyDescent="0.3">
      <c r="C13" s="5"/>
      <c r="S13" s="6"/>
    </row>
    <row r="14" spans="3:19" x14ac:dyDescent="0.3">
      <c r="C14" s="5"/>
      <c r="S14" s="6"/>
    </row>
    <row r="15" spans="3:19" x14ac:dyDescent="0.3">
      <c r="C15" s="5"/>
      <c r="S15" s="6"/>
    </row>
    <row r="16" spans="3:19" x14ac:dyDescent="0.3">
      <c r="C16" s="5"/>
      <c r="S16" s="6"/>
    </row>
    <row r="17" spans="3:19" x14ac:dyDescent="0.3">
      <c r="C17" s="5"/>
      <c r="S17" s="6"/>
    </row>
    <row r="18" spans="3:19" x14ac:dyDescent="0.3">
      <c r="C18" s="5"/>
      <c r="S18" s="6"/>
    </row>
    <row r="19" spans="3:19" ht="15" thickBot="1" x14ac:dyDescent="0.35">
      <c r="C19" s="9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4"/>
      <c r="O19" s="14"/>
      <c r="P19" s="14"/>
      <c r="Q19" s="10"/>
      <c r="R19" s="10"/>
      <c r="S19" s="11"/>
    </row>
    <row r="22" spans="3:19" ht="15" thickBot="1" x14ac:dyDescent="0.35"/>
    <row r="23" spans="3:19" x14ac:dyDescent="0.3">
      <c r="C23" s="2"/>
      <c r="D23" s="3"/>
      <c r="E23" s="3"/>
      <c r="F23" s="3"/>
      <c r="G23" s="3"/>
      <c r="H23" s="3"/>
      <c r="I23" s="3"/>
      <c r="J23" s="3"/>
      <c r="K23" s="3"/>
      <c r="L23" s="3"/>
      <c r="M23" s="3"/>
      <c r="N23" s="13"/>
      <c r="O23" s="13"/>
      <c r="P23" s="13"/>
      <c r="Q23" s="3"/>
      <c r="R23" s="3"/>
      <c r="S23" s="4"/>
    </row>
    <row r="24" spans="3:19" x14ac:dyDescent="0.3">
      <c r="C24" s="5"/>
      <c r="S24" s="6"/>
    </row>
    <row r="25" spans="3:19" x14ac:dyDescent="0.3">
      <c r="C25" s="5"/>
      <c r="S25" s="6"/>
    </row>
    <row r="26" spans="3:19" x14ac:dyDescent="0.3">
      <c r="C26" s="5"/>
      <c r="S26" s="6"/>
    </row>
    <row r="27" spans="3:19" ht="18" x14ac:dyDescent="0.35">
      <c r="C27" s="5"/>
      <c r="M27" s="1" t="s">
        <v>13</v>
      </c>
      <c r="N27" s="15" t="s">
        <v>8</v>
      </c>
      <c r="O27" s="15" t="s">
        <v>2</v>
      </c>
      <c r="P27" s="15" t="s">
        <v>3</v>
      </c>
      <c r="Q27" s="15" t="s">
        <v>14</v>
      </c>
      <c r="S27" s="6"/>
    </row>
    <row r="28" spans="3:19" ht="15.6" x14ac:dyDescent="0.3">
      <c r="C28" s="5"/>
      <c r="M28" s="7" t="s">
        <v>4</v>
      </c>
      <c r="N28" s="8">
        <v>0</v>
      </c>
      <c r="O28" s="8">
        <v>4</v>
      </c>
      <c r="P28" s="8">
        <v>11</v>
      </c>
      <c r="Q28" s="8">
        <v>0</v>
      </c>
      <c r="S28" s="6"/>
    </row>
    <row r="29" spans="3:19" ht="15.6" x14ac:dyDescent="0.3">
      <c r="C29" s="5"/>
      <c r="M29" s="7" t="s">
        <v>5</v>
      </c>
      <c r="N29" s="8">
        <v>1</v>
      </c>
      <c r="O29" s="8">
        <v>7</v>
      </c>
      <c r="P29" s="8">
        <v>8</v>
      </c>
      <c r="Q29" s="8">
        <v>0</v>
      </c>
      <c r="S29" s="6"/>
    </row>
    <row r="30" spans="3:19" ht="15.6" x14ac:dyDescent="0.3">
      <c r="C30" s="5"/>
      <c r="M30" s="7" t="s">
        <v>6</v>
      </c>
      <c r="N30" s="8">
        <v>0</v>
      </c>
      <c r="O30" s="8">
        <v>1</v>
      </c>
      <c r="P30" s="8">
        <v>0</v>
      </c>
      <c r="Q30" s="8">
        <v>0</v>
      </c>
      <c r="S30" s="6"/>
    </row>
    <row r="31" spans="3:19" ht="15.6" x14ac:dyDescent="0.3">
      <c r="C31" s="5"/>
      <c r="M31" s="7" t="s">
        <v>7</v>
      </c>
      <c r="N31" s="8">
        <v>0</v>
      </c>
      <c r="O31" s="8">
        <v>0</v>
      </c>
      <c r="P31" s="8">
        <v>0</v>
      </c>
      <c r="Q31" s="8">
        <v>0</v>
      </c>
      <c r="S31" s="6"/>
    </row>
    <row r="32" spans="3:19" ht="15.6" x14ac:dyDescent="0.3">
      <c r="C32" s="5"/>
      <c r="M32" s="7" t="s">
        <v>10</v>
      </c>
      <c r="N32" s="8">
        <v>2</v>
      </c>
      <c r="O32" s="8">
        <v>7</v>
      </c>
      <c r="P32" s="8">
        <v>3</v>
      </c>
      <c r="Q32" s="8">
        <v>0</v>
      </c>
      <c r="S32" s="6"/>
    </row>
    <row r="33" spans="3:19" ht="15.6" x14ac:dyDescent="0.3">
      <c r="C33" s="5"/>
      <c r="M33" s="7" t="s">
        <v>11</v>
      </c>
      <c r="N33" s="8">
        <v>0</v>
      </c>
      <c r="O33" s="8">
        <v>2</v>
      </c>
      <c r="P33" s="8">
        <v>9</v>
      </c>
      <c r="Q33" s="8">
        <v>0</v>
      </c>
      <c r="S33" s="6"/>
    </row>
    <row r="34" spans="3:19" ht="15.6" x14ac:dyDescent="0.3">
      <c r="C34" s="5"/>
      <c r="M34" s="7" t="s">
        <v>12</v>
      </c>
      <c r="N34" s="8">
        <v>0</v>
      </c>
      <c r="O34" s="8">
        <v>0</v>
      </c>
      <c r="P34" s="8">
        <v>0</v>
      </c>
      <c r="Q34" s="8">
        <v>0</v>
      </c>
      <c r="S34" s="6"/>
    </row>
    <row r="35" spans="3:19" x14ac:dyDescent="0.3">
      <c r="C35" s="5"/>
      <c r="S35" s="6"/>
    </row>
    <row r="36" spans="3:19" x14ac:dyDescent="0.3">
      <c r="C36" s="5"/>
      <c r="S36" s="6"/>
    </row>
    <row r="37" spans="3:19" x14ac:dyDescent="0.3">
      <c r="C37" s="5"/>
      <c r="S37" s="6"/>
    </row>
    <row r="38" spans="3:19" x14ac:dyDescent="0.3">
      <c r="C38" s="5"/>
      <c r="S38" s="6"/>
    </row>
    <row r="39" spans="3:19" ht="15" thickBot="1" x14ac:dyDescent="0.35">
      <c r="C39" s="9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4"/>
      <c r="O39" s="14"/>
      <c r="P39" s="14"/>
      <c r="Q39" s="10"/>
      <c r="R39" s="10"/>
      <c r="S39" s="11"/>
    </row>
    <row r="42" spans="3:19" ht="15" thickBot="1" x14ac:dyDescent="0.35"/>
    <row r="43" spans="3:19" x14ac:dyDescent="0.3">
      <c r="C43" s="2"/>
      <c r="D43" s="3"/>
      <c r="E43" s="3"/>
      <c r="F43" s="3"/>
      <c r="G43" s="3"/>
      <c r="H43" s="3"/>
      <c r="I43" s="3"/>
      <c r="J43" s="3"/>
      <c r="K43" s="3"/>
      <c r="L43" s="3"/>
      <c r="M43" s="3"/>
      <c r="N43" s="13"/>
      <c r="O43" s="13"/>
      <c r="P43" s="13"/>
      <c r="Q43" s="3"/>
      <c r="R43" s="3"/>
      <c r="S43" s="4"/>
    </row>
    <row r="44" spans="3:19" x14ac:dyDescent="0.3">
      <c r="C44" s="5"/>
      <c r="S44" s="6"/>
    </row>
    <row r="45" spans="3:19" x14ac:dyDescent="0.3">
      <c r="C45" s="5"/>
      <c r="S45" s="6"/>
    </row>
    <row r="46" spans="3:19" x14ac:dyDescent="0.3">
      <c r="C46" s="5"/>
      <c r="S46" s="6"/>
    </row>
    <row r="47" spans="3:19" ht="18" x14ac:dyDescent="0.35">
      <c r="C47" s="5"/>
      <c r="M47" s="1" t="s">
        <v>0</v>
      </c>
      <c r="N47" s="16">
        <v>45444</v>
      </c>
      <c r="O47" s="16">
        <v>45566</v>
      </c>
      <c r="P47" s="16">
        <v>45566</v>
      </c>
      <c r="Q47" s="16">
        <v>45566</v>
      </c>
      <c r="R47" s="16">
        <v>45597</v>
      </c>
      <c r="S47" s="6"/>
    </row>
    <row r="48" spans="3:19" ht="15.6" x14ac:dyDescent="0.3">
      <c r="C48" s="5"/>
      <c r="M48" s="7" t="s">
        <v>1</v>
      </c>
      <c r="N48" s="8">
        <f>COUNTIF(Listagem!$E$1:$E$69,Gráficos!M48)</f>
        <v>35</v>
      </c>
      <c r="O48" s="8">
        <v>53</v>
      </c>
      <c r="P48" s="8">
        <v>53</v>
      </c>
      <c r="Q48" s="8">
        <v>53</v>
      </c>
      <c r="R48">
        <v>53</v>
      </c>
      <c r="S48" s="6"/>
    </row>
    <row r="49" spans="3:19" ht="15.6" x14ac:dyDescent="0.3">
      <c r="C49" s="5"/>
      <c r="M49" s="7" t="s">
        <v>8</v>
      </c>
      <c r="N49" s="8">
        <f>COUNTIF(Listagem!$E$1:$E$69,Gráficos!M49)</f>
        <v>4</v>
      </c>
      <c r="O49" s="8">
        <v>5</v>
      </c>
      <c r="P49" s="8">
        <v>5</v>
      </c>
      <c r="Q49" s="8">
        <v>5</v>
      </c>
      <c r="R49">
        <v>5</v>
      </c>
      <c r="S49" s="6"/>
    </row>
    <row r="50" spans="3:19" ht="15.6" x14ac:dyDescent="0.3">
      <c r="C50" s="5"/>
      <c r="M50" s="7" t="s">
        <v>2</v>
      </c>
      <c r="N50" s="8">
        <f>COUNTIF(Listagem!$E$1:$E$69,Gráficos!M50)</f>
        <v>12</v>
      </c>
      <c r="O50" s="8">
        <v>12</v>
      </c>
      <c r="P50" s="8">
        <v>12</v>
      </c>
      <c r="Q50" s="8">
        <v>12</v>
      </c>
      <c r="R50">
        <v>12</v>
      </c>
      <c r="S50" s="6"/>
    </row>
    <row r="51" spans="3:19" ht="15.6" x14ac:dyDescent="0.3">
      <c r="C51" s="5"/>
      <c r="M51" s="7" t="s">
        <v>3</v>
      </c>
      <c r="N51" s="8">
        <f>COUNTIF(Listagem!$E$1:$E$69,Gráficos!M51)</f>
        <v>17</v>
      </c>
      <c r="O51" s="8">
        <v>9</v>
      </c>
      <c r="P51" s="8">
        <v>9</v>
      </c>
      <c r="Q51" s="8">
        <v>9</v>
      </c>
      <c r="R51">
        <v>9</v>
      </c>
      <c r="S51" s="6"/>
    </row>
    <row r="52" spans="3:19" ht="15.6" x14ac:dyDescent="0.3">
      <c r="C52" s="5"/>
      <c r="M52" s="7" t="s">
        <v>9</v>
      </c>
      <c r="N52" s="8">
        <f>COUNTIF(Listagem!$E$1:$E$69,Gráficos!M52)</f>
        <v>0</v>
      </c>
      <c r="O52" s="8"/>
      <c r="P52" s="8"/>
      <c r="Q52" s="8"/>
      <c r="S52" s="6"/>
    </row>
    <row r="53" spans="3:19" ht="15.6" x14ac:dyDescent="0.3">
      <c r="C53" s="5"/>
      <c r="M53" s="7"/>
      <c r="N53" s="8"/>
      <c r="O53" s="8"/>
      <c r="P53" s="8"/>
      <c r="S53" s="6"/>
    </row>
    <row r="54" spans="3:19" ht="15.6" x14ac:dyDescent="0.3">
      <c r="C54" s="5"/>
      <c r="M54" s="7"/>
      <c r="N54" s="8"/>
      <c r="O54" s="8"/>
      <c r="P54" s="8"/>
      <c r="S54" s="6"/>
    </row>
    <row r="55" spans="3:19" x14ac:dyDescent="0.3">
      <c r="C55" s="5"/>
      <c r="S55" s="6"/>
    </row>
    <row r="56" spans="3:19" x14ac:dyDescent="0.3">
      <c r="C56" s="5"/>
      <c r="S56" s="6"/>
    </row>
    <row r="57" spans="3:19" x14ac:dyDescent="0.3">
      <c r="C57" s="5"/>
      <c r="S57" s="6"/>
    </row>
    <row r="58" spans="3:19" x14ac:dyDescent="0.3">
      <c r="C58" s="5"/>
      <c r="S58" s="6"/>
    </row>
    <row r="59" spans="3:19" ht="15" thickBot="1" x14ac:dyDescent="0.35">
      <c r="C59" s="9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4"/>
      <c r="O59" s="14"/>
      <c r="P59" s="14"/>
      <c r="Q59" s="10"/>
      <c r="R59" s="10"/>
      <c r="S59" s="1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E5850-3F3D-4026-BE08-BC5A294112F2}">
  <dimension ref="E1:E80"/>
  <sheetViews>
    <sheetView topLeftCell="A73" workbookViewId="0">
      <selection activeCell="E1" sqref="E1:E80"/>
    </sheetView>
  </sheetViews>
  <sheetFormatPr defaultRowHeight="14.4" x14ac:dyDescent="0.3"/>
  <sheetData>
    <row r="1" spans="5:5" ht="16.2" thickBot="1" x14ac:dyDescent="0.35">
      <c r="E1" s="22">
        <v>45444</v>
      </c>
    </row>
    <row r="2" spans="5:5" ht="16.2" thickBot="1" x14ac:dyDescent="0.35">
      <c r="E2" s="19" t="s">
        <v>1</v>
      </c>
    </row>
    <row r="3" spans="5:5" ht="16.2" thickBot="1" x14ac:dyDescent="0.35">
      <c r="E3" s="19" t="s">
        <v>1</v>
      </c>
    </row>
    <row r="4" spans="5:5" ht="16.2" thickBot="1" x14ac:dyDescent="0.35">
      <c r="E4" s="19" t="s">
        <v>1</v>
      </c>
    </row>
    <row r="5" spans="5:5" ht="16.2" thickBot="1" x14ac:dyDescent="0.35">
      <c r="E5" s="19" t="s">
        <v>1</v>
      </c>
    </row>
    <row r="6" spans="5:5" ht="16.2" thickBot="1" x14ac:dyDescent="0.35">
      <c r="E6" s="19" t="s">
        <v>1</v>
      </c>
    </row>
    <row r="7" spans="5:5" ht="16.2" thickBot="1" x14ac:dyDescent="0.35">
      <c r="E7" s="21" t="s">
        <v>3</v>
      </c>
    </row>
    <row r="8" spans="5:5" ht="16.2" thickBot="1" x14ac:dyDescent="0.35">
      <c r="E8" s="19" t="s">
        <v>1</v>
      </c>
    </row>
    <row r="9" spans="5:5" ht="16.2" thickBot="1" x14ac:dyDescent="0.35">
      <c r="E9" s="19" t="s">
        <v>1</v>
      </c>
    </row>
    <row r="10" spans="5:5" ht="16.2" thickBot="1" x14ac:dyDescent="0.35">
      <c r="E10" s="19" t="s">
        <v>1</v>
      </c>
    </row>
    <row r="11" spans="5:5" ht="16.2" thickBot="1" x14ac:dyDescent="0.35">
      <c r="E11" s="19" t="s">
        <v>1</v>
      </c>
    </row>
    <row r="12" spans="5:5" ht="16.2" thickBot="1" x14ac:dyDescent="0.35">
      <c r="E12" s="19" t="s">
        <v>1</v>
      </c>
    </row>
    <row r="13" spans="5:5" ht="16.2" thickBot="1" x14ac:dyDescent="0.35">
      <c r="E13" s="21" t="s">
        <v>3</v>
      </c>
    </row>
    <row r="14" spans="5:5" ht="16.2" thickBot="1" x14ac:dyDescent="0.35">
      <c r="E14" s="18" t="s">
        <v>2</v>
      </c>
    </row>
    <row r="15" spans="5:5" ht="16.2" thickBot="1" x14ac:dyDescent="0.35">
      <c r="E15" s="18" t="s">
        <v>2</v>
      </c>
    </row>
    <row r="16" spans="5:5" ht="16.2" thickBot="1" x14ac:dyDescent="0.35">
      <c r="E16" s="18" t="s">
        <v>2</v>
      </c>
    </row>
    <row r="17" spans="5:5" ht="16.2" thickBot="1" x14ac:dyDescent="0.35">
      <c r="E17" s="19" t="s">
        <v>1</v>
      </c>
    </row>
    <row r="18" spans="5:5" ht="16.2" thickBot="1" x14ac:dyDescent="0.35">
      <c r="E18" s="19" t="s">
        <v>1</v>
      </c>
    </row>
    <row r="19" spans="5:5" ht="16.2" thickBot="1" x14ac:dyDescent="0.35">
      <c r="E19" s="18" t="s">
        <v>2</v>
      </c>
    </row>
    <row r="20" spans="5:5" ht="16.2" thickBot="1" x14ac:dyDescent="0.35">
      <c r="E20" s="21" t="s">
        <v>3</v>
      </c>
    </row>
    <row r="21" spans="5:5" ht="31.8" thickBot="1" x14ac:dyDescent="0.35">
      <c r="E21" s="20" t="s">
        <v>8</v>
      </c>
    </row>
    <row r="22" spans="5:5" ht="16.2" thickBot="1" x14ac:dyDescent="0.35">
      <c r="E22" s="18" t="s">
        <v>2</v>
      </c>
    </row>
    <row r="23" spans="5:5" ht="16.2" thickBot="1" x14ac:dyDescent="0.35">
      <c r="E23" s="21" t="s">
        <v>3</v>
      </c>
    </row>
    <row r="24" spans="5:5" ht="16.2" thickBot="1" x14ac:dyDescent="0.35">
      <c r="E24" s="18" t="s">
        <v>2</v>
      </c>
    </row>
    <row r="25" spans="5:5" ht="31.8" thickBot="1" x14ac:dyDescent="0.35">
      <c r="E25" s="20" t="s">
        <v>8</v>
      </c>
    </row>
    <row r="26" spans="5:5" ht="16.2" thickBot="1" x14ac:dyDescent="0.35">
      <c r="E26" s="18" t="s">
        <v>2</v>
      </c>
    </row>
    <row r="27" spans="5:5" ht="16.2" thickBot="1" x14ac:dyDescent="0.35">
      <c r="E27" s="21" t="s">
        <v>3</v>
      </c>
    </row>
    <row r="28" spans="5:5" ht="16.2" thickBot="1" x14ac:dyDescent="0.35">
      <c r="E28" s="21" t="s">
        <v>3</v>
      </c>
    </row>
    <row r="29" spans="5:5" ht="16.2" thickBot="1" x14ac:dyDescent="0.35">
      <c r="E29" s="21" t="s">
        <v>3</v>
      </c>
    </row>
    <row r="30" spans="5:5" ht="16.2" thickBot="1" x14ac:dyDescent="0.35">
      <c r="E30" s="21" t="s">
        <v>3</v>
      </c>
    </row>
    <row r="31" spans="5:5" ht="16.2" thickBot="1" x14ac:dyDescent="0.35">
      <c r="E31" s="19" t="s">
        <v>1</v>
      </c>
    </row>
    <row r="32" spans="5:5" ht="16.2" thickBot="1" x14ac:dyDescent="0.35">
      <c r="E32" s="21" t="s">
        <v>3</v>
      </c>
    </row>
    <row r="33" spans="5:5" ht="16.2" thickBot="1" x14ac:dyDescent="0.35">
      <c r="E33" s="21" t="s">
        <v>3</v>
      </c>
    </row>
    <row r="34" spans="5:5" ht="16.2" thickBot="1" x14ac:dyDescent="0.35">
      <c r="E34" s="21" t="s">
        <v>3</v>
      </c>
    </row>
    <row r="35" spans="5:5" ht="16.2" thickBot="1" x14ac:dyDescent="0.35">
      <c r="E35" s="19" t="s">
        <v>1</v>
      </c>
    </row>
    <row r="36" spans="5:5" ht="16.2" thickBot="1" x14ac:dyDescent="0.35">
      <c r="E36" s="21" t="s">
        <v>3</v>
      </c>
    </row>
    <row r="37" spans="5:5" ht="16.2" thickBot="1" x14ac:dyDescent="0.35">
      <c r="E37" s="18" t="s">
        <v>2</v>
      </c>
    </row>
    <row r="38" spans="5:5" ht="16.2" thickBot="1" x14ac:dyDescent="0.35">
      <c r="E38" s="19" t="s">
        <v>1</v>
      </c>
    </row>
    <row r="39" spans="5:5" ht="16.2" thickBot="1" x14ac:dyDescent="0.35">
      <c r="E39" s="19" t="s">
        <v>1</v>
      </c>
    </row>
    <row r="40" spans="5:5" ht="16.2" thickBot="1" x14ac:dyDescent="0.35">
      <c r="E40" s="21" t="s">
        <v>3</v>
      </c>
    </row>
    <row r="41" spans="5:5" ht="16.2" thickBot="1" x14ac:dyDescent="0.35">
      <c r="E41" s="18" t="s">
        <v>2</v>
      </c>
    </row>
    <row r="42" spans="5:5" ht="16.2" thickBot="1" x14ac:dyDescent="0.35">
      <c r="E42" s="18" t="s">
        <v>2</v>
      </c>
    </row>
    <row r="43" spans="5:5" ht="16.2" thickBot="1" x14ac:dyDescent="0.35">
      <c r="E43" s="19" t="s">
        <v>1</v>
      </c>
    </row>
    <row r="44" spans="5:5" ht="16.2" thickBot="1" x14ac:dyDescent="0.35">
      <c r="E44" s="21" t="s">
        <v>3</v>
      </c>
    </row>
    <row r="45" spans="5:5" ht="16.2" thickBot="1" x14ac:dyDescent="0.35">
      <c r="E45" s="19" t="s">
        <v>1</v>
      </c>
    </row>
    <row r="46" spans="5:5" ht="16.2" thickBot="1" x14ac:dyDescent="0.35">
      <c r="E46" s="19" t="s">
        <v>1</v>
      </c>
    </row>
    <row r="47" spans="5:5" ht="16.2" thickBot="1" x14ac:dyDescent="0.35">
      <c r="E47" s="19" t="s">
        <v>1</v>
      </c>
    </row>
    <row r="48" spans="5:5" ht="31.8" thickBot="1" x14ac:dyDescent="0.35">
      <c r="E48" s="20" t="s">
        <v>8</v>
      </c>
    </row>
    <row r="49" spans="5:5" ht="16.2" thickBot="1" x14ac:dyDescent="0.35">
      <c r="E49" s="19" t="s">
        <v>1</v>
      </c>
    </row>
    <row r="50" spans="5:5" ht="16.2" thickBot="1" x14ac:dyDescent="0.35">
      <c r="E50" s="19" t="s">
        <v>1</v>
      </c>
    </row>
    <row r="51" spans="5:5" ht="16.2" thickBot="1" x14ac:dyDescent="0.35">
      <c r="E51" s="19" t="s">
        <v>1</v>
      </c>
    </row>
    <row r="52" spans="5:5" ht="16.2" thickBot="1" x14ac:dyDescent="0.35">
      <c r="E52" s="19" t="s">
        <v>1</v>
      </c>
    </row>
    <row r="53" spans="5:5" ht="16.2" thickBot="1" x14ac:dyDescent="0.35">
      <c r="E53" s="19" t="s">
        <v>1</v>
      </c>
    </row>
    <row r="54" spans="5:5" ht="16.2" thickBot="1" x14ac:dyDescent="0.35">
      <c r="E54" s="19" t="s">
        <v>1</v>
      </c>
    </row>
    <row r="55" spans="5:5" ht="16.2" thickBot="1" x14ac:dyDescent="0.35">
      <c r="E55" s="19" t="s">
        <v>1</v>
      </c>
    </row>
    <row r="56" spans="5:5" ht="16.2" thickBot="1" x14ac:dyDescent="0.35">
      <c r="E56" s="19" t="s">
        <v>1</v>
      </c>
    </row>
    <row r="57" spans="5:5" ht="16.2" thickBot="1" x14ac:dyDescent="0.35">
      <c r="E57" s="19" t="s">
        <v>1</v>
      </c>
    </row>
    <row r="58" spans="5:5" ht="16.2" thickBot="1" x14ac:dyDescent="0.35">
      <c r="E58" s="19" t="s">
        <v>1</v>
      </c>
    </row>
    <row r="59" spans="5:5" ht="16.2" thickBot="1" x14ac:dyDescent="0.35">
      <c r="E59" s="19" t="s">
        <v>1</v>
      </c>
    </row>
    <row r="60" spans="5:5" ht="16.2" thickBot="1" x14ac:dyDescent="0.35">
      <c r="E60" s="21" t="s">
        <v>3</v>
      </c>
    </row>
    <row r="61" spans="5:5" ht="16.2" thickBot="1" x14ac:dyDescent="0.35">
      <c r="E61" s="19" t="s">
        <v>1</v>
      </c>
    </row>
    <row r="62" spans="5:5" ht="16.2" thickBot="1" x14ac:dyDescent="0.35">
      <c r="E62" s="18" t="s">
        <v>2</v>
      </c>
    </row>
    <row r="63" spans="5:5" ht="16.2" thickBot="1" x14ac:dyDescent="0.35">
      <c r="E63" s="21" t="s">
        <v>3</v>
      </c>
    </row>
    <row r="64" spans="5:5" ht="16.2" thickBot="1" x14ac:dyDescent="0.35">
      <c r="E64" s="21" t="s">
        <v>3</v>
      </c>
    </row>
    <row r="65" spans="5:5" ht="31.8" thickBot="1" x14ac:dyDescent="0.35">
      <c r="E65" s="20" t="s">
        <v>8</v>
      </c>
    </row>
    <row r="66" spans="5:5" ht="16.2" thickBot="1" x14ac:dyDescent="0.35">
      <c r="E66" s="19" t="s">
        <v>1</v>
      </c>
    </row>
    <row r="67" spans="5:5" ht="16.2" thickBot="1" x14ac:dyDescent="0.35">
      <c r="E67" s="19" t="s">
        <v>1</v>
      </c>
    </row>
    <row r="68" spans="5:5" ht="16.2" thickBot="1" x14ac:dyDescent="0.35">
      <c r="E68" s="19" t="s">
        <v>1</v>
      </c>
    </row>
    <row r="69" spans="5:5" ht="16.2" thickBot="1" x14ac:dyDescent="0.35">
      <c r="E69" s="18" t="s">
        <v>2</v>
      </c>
    </row>
    <row r="70" spans="5:5" ht="16.2" thickBot="1" x14ac:dyDescent="0.35">
      <c r="E70" s="19" t="s">
        <v>1</v>
      </c>
    </row>
    <row r="71" spans="5:5" ht="16.2" thickBot="1" x14ac:dyDescent="0.35">
      <c r="E71" s="19" t="s">
        <v>1</v>
      </c>
    </row>
    <row r="72" spans="5:5" ht="16.2" thickBot="1" x14ac:dyDescent="0.35">
      <c r="E72" s="19" t="s">
        <v>1</v>
      </c>
    </row>
    <row r="73" spans="5:5" ht="16.2" thickBot="1" x14ac:dyDescent="0.35">
      <c r="E73" s="18" t="s">
        <v>2</v>
      </c>
    </row>
    <row r="74" spans="5:5" ht="16.2" thickBot="1" x14ac:dyDescent="0.35">
      <c r="E74" s="18" t="s">
        <v>2</v>
      </c>
    </row>
    <row r="75" spans="5:5" ht="16.2" thickBot="1" x14ac:dyDescent="0.35">
      <c r="E75" s="19" t="s">
        <v>1</v>
      </c>
    </row>
    <row r="76" spans="5:5" ht="16.2" thickBot="1" x14ac:dyDescent="0.35">
      <c r="E76" s="18" t="s">
        <v>2</v>
      </c>
    </row>
    <row r="77" spans="5:5" ht="16.2" thickBot="1" x14ac:dyDescent="0.35">
      <c r="E77" s="21" t="s">
        <v>3</v>
      </c>
    </row>
    <row r="78" spans="5:5" ht="16.2" thickBot="1" x14ac:dyDescent="0.35">
      <c r="E78" s="19" t="s">
        <v>1</v>
      </c>
    </row>
    <row r="79" spans="5:5" ht="16.2" thickBot="1" x14ac:dyDescent="0.35">
      <c r="E79" s="19" t="s">
        <v>1</v>
      </c>
    </row>
    <row r="80" spans="5:5" ht="16.2" thickBot="1" x14ac:dyDescent="0.35">
      <c r="E80" s="19" t="s">
        <v>1</v>
      </c>
    </row>
  </sheetData>
  <phoneticPr fontId="4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Gráficos</vt:lpstr>
      <vt:lpstr>Listagem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Predimec</dc:creator>
  <cp:lastModifiedBy>GUSTAVO DOS ANJOS CAMPOS</cp:lastModifiedBy>
  <dcterms:created xsi:type="dcterms:W3CDTF">2018-04-17T14:30:28Z</dcterms:created>
  <dcterms:modified xsi:type="dcterms:W3CDTF">2024-10-02T20:34:37Z</dcterms:modified>
</cp:coreProperties>
</file>